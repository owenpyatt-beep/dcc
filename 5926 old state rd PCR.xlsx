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fms-my.sharepoint.com/personal/brett_cochran_fnf_com/Documents/Documents/"/>
    </mc:Choice>
  </mc:AlternateContent>
  <xr:revisionPtr revIDLastSave="0" documentId="8_{B4F2F1C5-D555-4D1F-8186-F71053ADA975}" xr6:coauthVersionLast="47" xr6:coauthVersionMax="47" xr10:uidLastSave="{00000000-0000-0000-0000-000000000000}"/>
  <bookViews>
    <workbookView xWindow="-120" yWindow="-120" windowWidth="29040" windowHeight="15720" xr2:uid="{59C591D7-A289-47E8-B931-43B95A74A715}"/>
  </bookViews>
  <sheets>
    <sheet name="ProjectCategories (12)" sheetId="1" r:id="rId1"/>
  </sheets>
  <calcPr calcId="0"/>
</workbook>
</file>

<file path=xl/calcChain.xml><?xml version="1.0" encoding="utf-8"?>
<calcChain xmlns="http://schemas.openxmlformats.org/spreadsheetml/2006/main">
  <c r="I61" i="1" l="1"/>
  <c r="H61" i="1"/>
  <c r="G61" i="1"/>
</calcChain>
</file>

<file path=xl/sharedStrings.xml><?xml version="1.0" encoding="utf-8"?>
<sst xmlns="http://schemas.openxmlformats.org/spreadsheetml/2006/main" count="125" uniqueCount="68">
  <si>
    <t>Project_Number</t>
  </si>
  <si>
    <t>Lot_Number</t>
  </si>
  <si>
    <t>Address</t>
  </si>
  <si>
    <t>Category_Number</t>
  </si>
  <si>
    <t>Percent_Complete</t>
  </si>
  <si>
    <t>Budgeted</t>
  </si>
  <si>
    <t>Disbursed</t>
  </si>
  <si>
    <t>Balance</t>
  </si>
  <si>
    <t>Category_Description</t>
  </si>
  <si>
    <t>(C) 5926 OLD STATE ROAD, IMPERIAL, MO 63052</t>
  </si>
  <si>
    <t>DISBURSING FEE</t>
  </si>
  <si>
    <t>LAND</t>
  </si>
  <si>
    <t>ARCHITECTURAL</t>
  </si>
  <si>
    <t>ENGINEERING</t>
  </si>
  <si>
    <t>BUILDING PERMITS</t>
  </si>
  <si>
    <t>GENERAL LIABILITY INSURANCE</t>
  </si>
  <si>
    <t>BUILDERS RISK INSURANCE</t>
  </si>
  <si>
    <t>CONTINGENCY</t>
  </si>
  <si>
    <t>RENTAL MARKETING</t>
  </si>
  <si>
    <t>INTEREST</t>
  </si>
  <si>
    <t>OFFICE MGMT</t>
  </si>
  <si>
    <t>ATTORNEY FEES</t>
  </si>
  <si>
    <t>DEMO</t>
  </si>
  <si>
    <t>GENERAL CONSTRUCTION</t>
  </si>
  <si>
    <t>HAULING</t>
  </si>
  <si>
    <t>EXCAVATION, GRADING</t>
  </si>
  <si>
    <t>FOOTINGS &amp; FOUNDATION</t>
  </si>
  <si>
    <t>CONCRETE SLAB / WALKWAY</t>
  </si>
  <si>
    <t>ASPHALT/STRIPE</t>
  </si>
  <si>
    <t>RETAINING WALLS</t>
  </si>
  <si>
    <t>IRRIGATION SYSTEM</t>
  </si>
  <si>
    <t>LUMBER/ROOF TRUSSES</t>
  </si>
  <si>
    <t>MISC MATERIALS</t>
  </si>
  <si>
    <t>PLUMBING</t>
  </si>
  <si>
    <t>HVAC</t>
  </si>
  <si>
    <t>ELECTRICAL</t>
  </si>
  <si>
    <t>ELECTRICAL FIXTURES</t>
  </si>
  <si>
    <t>CARPENTRY LABOR</t>
  </si>
  <si>
    <t>CRAIN, BOBCAT</t>
  </si>
  <si>
    <t>ROOFING SHINGLES</t>
  </si>
  <si>
    <t>GUTTERS / DOWNSPOUTS</t>
  </si>
  <si>
    <t>SIDING, EXT TRIM, SHUTTERS</t>
  </si>
  <si>
    <t>METAL RAILINGS, TRASH ENCLOSURES</t>
  </si>
  <si>
    <t>CONCRETE LIGHT WEIGHT</t>
  </si>
  <si>
    <t>FIRE SUPPRESSION</t>
  </si>
  <si>
    <t>INSULATION</t>
  </si>
  <si>
    <t>FIRE ALARM</t>
  </si>
  <si>
    <t>WINDOWS, GLASS DOORS</t>
  </si>
  <si>
    <t>DRYWALL</t>
  </si>
  <si>
    <t>PAINTING</t>
  </si>
  <si>
    <t>CABINETS &amp; TOPS</t>
  </si>
  <si>
    <t>BASE, TRIM, NAILS</t>
  </si>
  <si>
    <t>INTERIOR DOOR, METAL DOORS</t>
  </si>
  <si>
    <t>METAL ENTRY DOORS</t>
  </si>
  <si>
    <t>UNIT/CARPORT # PLACKETS</t>
  </si>
  <si>
    <t>APPLIANCES</t>
  </si>
  <si>
    <t>SHELVING, MIRRORS, SHOWER DOORS</t>
  </si>
  <si>
    <t>INTERIOR FLOORING</t>
  </si>
  <si>
    <t>BLINDS</t>
  </si>
  <si>
    <t>FITNESS CENTER</t>
  </si>
  <si>
    <t>COMMON LABOR</t>
  </si>
  <si>
    <t>TRASH REMOVAL</t>
  </si>
  <si>
    <t>PORTABLE TOILET</t>
  </si>
  <si>
    <t>TEMP ELECTRIC</t>
  </si>
  <si>
    <t>FINAL CLEAN</t>
  </si>
  <si>
    <t>FINISH GRADE</t>
  </si>
  <si>
    <t>SWIMMING POOL, GAZEBO</t>
  </si>
  <si>
    <t>TRASH ENCLOSURES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</si>
</sst>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FB64-926B-4889-8985-9D3372565319}">
  <dimension ref="A1:I61"/>
  <sheetViews>
    <sheetView tabSelected="1" workbookViewId="0">
      <selection activeCell="H64" sqref="H64"/>
    </sheetView>
  </sheetViews>
  <sheetFormatPr defaultRowHeight="15" x14ac:dyDescent="0.25"/>
  <cols>
    <col min="1" max="1" width="15.28515625" style="1" bestFit="1" customWidth="1"/>
    <col min="2" max="2" width="11.5703125" style="1" bestFit="1" customWidth="1"/>
    <col min="3" max="3" width="42.5703125" style="1" bestFit="1" customWidth="1"/>
    <col min="4" max="4" width="16.7109375" style="1" bestFit="1" customWidth="1"/>
    <col min="5" max="5" width="34.7109375" style="1" bestFit="1" customWidth="1"/>
    <col min="6" max="6" width="16.85546875" style="1" bestFit="1" customWidth="1"/>
    <col min="7" max="7" width="18.28515625" style="2" customWidth="1"/>
    <col min="8" max="8" width="17.7109375" style="2" customWidth="1"/>
    <col min="9" max="9" width="17.140625" style="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1">
        <v>260021</v>
      </c>
      <c r="B2" s="1">
        <v>1</v>
      </c>
      <c r="C2" s="1" t="s">
        <v>9</v>
      </c>
      <c r="D2" s="1">
        <v>4</v>
      </c>
      <c r="E2" s="1" t="s">
        <v>10</v>
      </c>
      <c r="F2" s="1">
        <v>100</v>
      </c>
      <c r="G2" s="2">
        <v>65000</v>
      </c>
      <c r="H2" s="2">
        <v>65000</v>
      </c>
      <c r="I2" s="2">
        <v>0</v>
      </c>
    </row>
    <row r="3" spans="1:9" x14ac:dyDescent="0.25">
      <c r="A3" s="1">
        <v>260021</v>
      </c>
      <c r="B3" s="1">
        <v>1</v>
      </c>
      <c r="C3" s="1" t="s">
        <v>9</v>
      </c>
      <c r="D3" s="1">
        <v>1460</v>
      </c>
      <c r="E3" s="1" t="s">
        <v>11</v>
      </c>
      <c r="F3" s="1">
        <v>100</v>
      </c>
      <c r="G3" s="2">
        <v>1216260.8</v>
      </c>
      <c r="H3" s="2">
        <v>1216260.8</v>
      </c>
      <c r="I3" s="2">
        <v>0</v>
      </c>
    </row>
    <row r="4" spans="1:9" x14ac:dyDescent="0.25">
      <c r="A4" s="1">
        <v>260021</v>
      </c>
      <c r="B4" s="1">
        <v>1</v>
      </c>
      <c r="C4" s="1" t="s">
        <v>9</v>
      </c>
      <c r="D4" s="1">
        <v>4631</v>
      </c>
      <c r="E4" s="1" t="s">
        <v>12</v>
      </c>
      <c r="F4" s="1">
        <v>80</v>
      </c>
      <c r="G4" s="2">
        <v>50000</v>
      </c>
      <c r="H4" s="2">
        <v>38354.5</v>
      </c>
      <c r="I4" s="2">
        <v>11645.5</v>
      </c>
    </row>
    <row r="5" spans="1:9" x14ac:dyDescent="0.25">
      <c r="A5" s="1">
        <v>260021</v>
      </c>
      <c r="B5" s="1">
        <v>1</v>
      </c>
      <c r="C5" s="1" t="s">
        <v>9</v>
      </c>
      <c r="D5" s="1">
        <v>6191</v>
      </c>
      <c r="E5" s="1" t="s">
        <v>13</v>
      </c>
      <c r="F5" s="1">
        <v>100</v>
      </c>
      <c r="G5" s="2">
        <v>139843.12</v>
      </c>
      <c r="H5" s="2">
        <v>139843.12</v>
      </c>
      <c r="I5" s="2">
        <v>0</v>
      </c>
    </row>
    <row r="6" spans="1:9" x14ac:dyDescent="0.25">
      <c r="A6" s="1">
        <v>260021</v>
      </c>
      <c r="B6" s="1">
        <v>1</v>
      </c>
      <c r="C6" s="1" t="s">
        <v>9</v>
      </c>
      <c r="D6" s="1">
        <v>9189</v>
      </c>
      <c r="E6" s="1" t="s">
        <v>14</v>
      </c>
      <c r="F6" s="1">
        <v>10</v>
      </c>
      <c r="G6" s="2">
        <v>500000</v>
      </c>
      <c r="H6" s="2">
        <v>38712</v>
      </c>
      <c r="I6" s="2">
        <v>461288</v>
      </c>
    </row>
    <row r="7" spans="1:9" x14ac:dyDescent="0.25">
      <c r="A7" s="1">
        <v>260021</v>
      </c>
      <c r="B7" s="1">
        <v>1</v>
      </c>
      <c r="C7" s="1" t="s">
        <v>9</v>
      </c>
      <c r="D7" s="1">
        <v>13624</v>
      </c>
      <c r="E7" s="1" t="s">
        <v>15</v>
      </c>
      <c r="F7" s="1">
        <v>10</v>
      </c>
      <c r="G7" s="2">
        <v>55000</v>
      </c>
      <c r="H7" s="2">
        <v>5131.29</v>
      </c>
      <c r="I7" s="2">
        <v>49868.71</v>
      </c>
    </row>
    <row r="8" spans="1:9" x14ac:dyDescent="0.25">
      <c r="A8" s="1">
        <v>260021</v>
      </c>
      <c r="B8" s="1">
        <v>1</v>
      </c>
      <c r="C8" s="1" t="s">
        <v>9</v>
      </c>
      <c r="D8" s="1">
        <v>14652</v>
      </c>
      <c r="E8" s="1" t="s">
        <v>16</v>
      </c>
      <c r="F8" s="1">
        <v>0</v>
      </c>
      <c r="G8" s="2">
        <v>45000</v>
      </c>
      <c r="H8" s="2">
        <v>0</v>
      </c>
      <c r="I8" s="2">
        <v>45000</v>
      </c>
    </row>
    <row r="9" spans="1:9" x14ac:dyDescent="0.25">
      <c r="A9" s="1">
        <v>260021</v>
      </c>
      <c r="B9" s="1">
        <v>1</v>
      </c>
      <c r="C9" s="1" t="s">
        <v>9</v>
      </c>
      <c r="D9" s="1">
        <v>15463</v>
      </c>
      <c r="E9" s="1" t="s">
        <v>17</v>
      </c>
      <c r="F9" s="1">
        <v>20</v>
      </c>
      <c r="G9" s="2">
        <v>993396.08</v>
      </c>
      <c r="H9" s="2">
        <v>183151</v>
      </c>
      <c r="I9" s="2">
        <v>810245.08</v>
      </c>
    </row>
    <row r="10" spans="1:9" x14ac:dyDescent="0.25">
      <c r="A10" s="1">
        <v>260021</v>
      </c>
      <c r="B10" s="1">
        <v>1</v>
      </c>
      <c r="C10" s="1" t="s">
        <v>9</v>
      </c>
      <c r="D10" s="1">
        <v>35070</v>
      </c>
      <c r="E10" s="1" t="s">
        <v>18</v>
      </c>
      <c r="F10" s="1">
        <v>0</v>
      </c>
      <c r="G10" s="2">
        <v>50000</v>
      </c>
      <c r="H10" s="2">
        <v>0</v>
      </c>
      <c r="I10" s="2">
        <v>50000</v>
      </c>
    </row>
    <row r="11" spans="1:9" x14ac:dyDescent="0.25">
      <c r="A11" s="1">
        <v>260021</v>
      </c>
      <c r="B11" s="1">
        <v>1</v>
      </c>
      <c r="C11" s="1" t="s">
        <v>9</v>
      </c>
      <c r="D11" s="1">
        <v>38902</v>
      </c>
      <c r="E11" s="1" t="s">
        <v>19</v>
      </c>
      <c r="F11" s="1">
        <v>0</v>
      </c>
      <c r="G11" s="2">
        <v>1000000</v>
      </c>
      <c r="H11" s="2">
        <v>0</v>
      </c>
      <c r="I11" s="2">
        <v>1000000</v>
      </c>
    </row>
    <row r="12" spans="1:9" x14ac:dyDescent="0.25">
      <c r="A12" s="1">
        <v>260021</v>
      </c>
      <c r="B12" s="1">
        <v>1</v>
      </c>
      <c r="C12" s="1" t="s">
        <v>9</v>
      </c>
      <c r="D12" s="1">
        <v>39263</v>
      </c>
      <c r="E12" s="1" t="s">
        <v>20</v>
      </c>
      <c r="F12" s="1">
        <v>0</v>
      </c>
      <c r="G12" s="2">
        <v>150000</v>
      </c>
      <c r="H12" s="2">
        <v>0</v>
      </c>
      <c r="I12" s="2">
        <v>150000</v>
      </c>
    </row>
    <row r="13" spans="1:9" x14ac:dyDescent="0.25">
      <c r="A13" s="1">
        <v>260021</v>
      </c>
      <c r="B13" s="1">
        <v>1</v>
      </c>
      <c r="C13" s="1" t="s">
        <v>9</v>
      </c>
      <c r="D13" s="1">
        <v>52035</v>
      </c>
      <c r="E13" s="1" t="s">
        <v>21</v>
      </c>
      <c r="F13" s="1">
        <v>100</v>
      </c>
      <c r="G13" s="2">
        <v>35500</v>
      </c>
      <c r="H13" s="2">
        <v>35500</v>
      </c>
      <c r="I13" s="2">
        <v>0</v>
      </c>
    </row>
    <row r="14" spans="1:9" x14ac:dyDescent="0.25">
      <c r="A14" s="1">
        <v>260021</v>
      </c>
      <c r="B14" s="1">
        <v>1</v>
      </c>
      <c r="C14" s="1" t="s">
        <v>9</v>
      </c>
      <c r="D14" s="1">
        <v>89425</v>
      </c>
      <c r="E14" s="1" t="s">
        <v>22</v>
      </c>
      <c r="F14" s="1">
        <v>100</v>
      </c>
      <c r="G14" s="2">
        <v>23000</v>
      </c>
      <c r="H14" s="2">
        <v>22370</v>
      </c>
      <c r="I14" s="2">
        <v>630</v>
      </c>
    </row>
    <row r="15" spans="1:9" x14ac:dyDescent="0.25">
      <c r="A15" s="1">
        <v>260021</v>
      </c>
      <c r="B15" s="1">
        <v>1</v>
      </c>
      <c r="C15" s="1" t="s">
        <v>9</v>
      </c>
      <c r="D15" s="1">
        <v>90099</v>
      </c>
      <c r="E15" s="1" t="s">
        <v>23</v>
      </c>
      <c r="F15" s="1">
        <v>0</v>
      </c>
      <c r="G15" s="2">
        <v>1700000</v>
      </c>
      <c r="H15" s="2">
        <v>0</v>
      </c>
      <c r="I15" s="2">
        <v>1700000</v>
      </c>
    </row>
    <row r="16" spans="1:9" x14ac:dyDescent="0.25">
      <c r="A16" s="1">
        <v>260021</v>
      </c>
      <c r="B16" s="1">
        <v>1</v>
      </c>
      <c r="C16" s="1" t="s">
        <v>9</v>
      </c>
      <c r="D16" s="1">
        <v>90100</v>
      </c>
      <c r="E16" s="1" t="s">
        <v>24</v>
      </c>
      <c r="F16" s="1">
        <v>0</v>
      </c>
      <c r="G16" s="2">
        <v>100000</v>
      </c>
      <c r="H16" s="2">
        <v>0</v>
      </c>
      <c r="I16" s="2">
        <v>100000</v>
      </c>
    </row>
    <row r="17" spans="1:9" x14ac:dyDescent="0.25">
      <c r="A17" s="1">
        <v>260021</v>
      </c>
      <c r="B17" s="1">
        <v>1</v>
      </c>
      <c r="C17" s="1" t="s">
        <v>9</v>
      </c>
      <c r="D17" s="1">
        <v>90101</v>
      </c>
      <c r="E17" s="1" t="s">
        <v>25</v>
      </c>
      <c r="F17" s="1">
        <v>25</v>
      </c>
      <c r="G17" s="2">
        <v>1500000</v>
      </c>
      <c r="H17" s="2">
        <v>313461</v>
      </c>
      <c r="I17" s="2">
        <v>1186539</v>
      </c>
    </row>
    <row r="18" spans="1:9" x14ac:dyDescent="0.25">
      <c r="A18" s="1">
        <v>260021</v>
      </c>
      <c r="B18" s="1">
        <v>1</v>
      </c>
      <c r="C18" s="1" t="s">
        <v>9</v>
      </c>
      <c r="D18" s="1">
        <v>90102</v>
      </c>
      <c r="E18" s="1" t="s">
        <v>26</v>
      </c>
      <c r="F18" s="1">
        <v>0</v>
      </c>
      <c r="G18" s="2">
        <v>914000</v>
      </c>
      <c r="H18" s="2">
        <v>0</v>
      </c>
      <c r="I18" s="2">
        <v>914000</v>
      </c>
    </row>
    <row r="19" spans="1:9" x14ac:dyDescent="0.25">
      <c r="A19" s="1">
        <v>260021</v>
      </c>
      <c r="B19" s="1">
        <v>1</v>
      </c>
      <c r="C19" s="1" t="s">
        <v>9</v>
      </c>
      <c r="D19" s="1">
        <v>90103</v>
      </c>
      <c r="E19" s="1" t="s">
        <v>27</v>
      </c>
      <c r="F19" s="1">
        <v>0</v>
      </c>
      <c r="G19" s="2">
        <v>731000</v>
      </c>
      <c r="H19" s="2">
        <v>0</v>
      </c>
      <c r="I19" s="2">
        <v>731000</v>
      </c>
    </row>
    <row r="20" spans="1:9" x14ac:dyDescent="0.25">
      <c r="A20" s="1">
        <v>260021</v>
      </c>
      <c r="B20" s="1">
        <v>1</v>
      </c>
      <c r="C20" s="1" t="s">
        <v>9</v>
      </c>
      <c r="D20" s="1">
        <v>90105</v>
      </c>
      <c r="E20" s="1" t="s">
        <v>28</v>
      </c>
      <c r="F20" s="1">
        <v>0</v>
      </c>
      <c r="G20" s="2">
        <v>275000</v>
      </c>
      <c r="H20" s="2">
        <v>0</v>
      </c>
      <c r="I20" s="2">
        <v>275000</v>
      </c>
    </row>
    <row r="21" spans="1:9" x14ac:dyDescent="0.25">
      <c r="A21" s="1">
        <v>260021</v>
      </c>
      <c r="B21" s="1">
        <v>1</v>
      </c>
      <c r="C21" s="1" t="s">
        <v>9</v>
      </c>
      <c r="D21" s="1">
        <v>90106</v>
      </c>
      <c r="E21" s="1" t="s">
        <v>29</v>
      </c>
      <c r="F21" s="1">
        <v>10</v>
      </c>
      <c r="G21" s="2">
        <v>175000</v>
      </c>
      <c r="H21" s="2">
        <v>10875</v>
      </c>
      <c r="I21" s="2">
        <v>164125</v>
      </c>
    </row>
    <row r="22" spans="1:9" x14ac:dyDescent="0.25">
      <c r="A22" s="1">
        <v>260021</v>
      </c>
      <c r="B22" s="1">
        <v>1</v>
      </c>
      <c r="C22" s="1" t="s">
        <v>9</v>
      </c>
      <c r="D22" s="1">
        <v>90107</v>
      </c>
      <c r="E22" s="1" t="s">
        <v>30</v>
      </c>
      <c r="F22" s="1">
        <v>0</v>
      </c>
      <c r="G22" s="2">
        <v>70000</v>
      </c>
      <c r="H22" s="2">
        <v>0</v>
      </c>
      <c r="I22" s="2">
        <v>70000</v>
      </c>
    </row>
    <row r="23" spans="1:9" x14ac:dyDescent="0.25">
      <c r="A23" s="1">
        <v>260021</v>
      </c>
      <c r="B23" s="1">
        <v>1</v>
      </c>
      <c r="C23" s="1" t="s">
        <v>9</v>
      </c>
      <c r="D23" s="1">
        <v>90108</v>
      </c>
      <c r="E23" s="1" t="s">
        <v>31</v>
      </c>
      <c r="F23" s="1">
        <v>0</v>
      </c>
      <c r="G23" s="2">
        <v>1583000</v>
      </c>
      <c r="H23" s="2">
        <v>0</v>
      </c>
      <c r="I23" s="2">
        <v>1583000</v>
      </c>
    </row>
    <row r="24" spans="1:9" x14ac:dyDescent="0.25">
      <c r="A24" s="1">
        <v>260021</v>
      </c>
      <c r="B24" s="1">
        <v>1</v>
      </c>
      <c r="C24" s="1" t="s">
        <v>9</v>
      </c>
      <c r="D24" s="1">
        <v>90109</v>
      </c>
      <c r="E24" s="1" t="s">
        <v>32</v>
      </c>
      <c r="F24" s="1">
        <v>0</v>
      </c>
      <c r="G24" s="2">
        <v>125000</v>
      </c>
      <c r="H24" s="2">
        <v>0</v>
      </c>
      <c r="I24" s="2">
        <v>125000</v>
      </c>
    </row>
    <row r="25" spans="1:9" x14ac:dyDescent="0.25">
      <c r="A25" s="1">
        <v>260021</v>
      </c>
      <c r="B25" s="1">
        <v>1</v>
      </c>
      <c r="C25" s="1" t="s">
        <v>9</v>
      </c>
      <c r="D25" s="1">
        <v>90110</v>
      </c>
      <c r="E25" s="1" t="s">
        <v>33</v>
      </c>
      <c r="F25" s="1">
        <v>0</v>
      </c>
      <c r="G25" s="2">
        <v>1650000</v>
      </c>
      <c r="H25" s="2">
        <v>0</v>
      </c>
      <c r="I25" s="2">
        <v>1650000</v>
      </c>
    </row>
    <row r="26" spans="1:9" x14ac:dyDescent="0.25">
      <c r="A26" s="1">
        <v>260021</v>
      </c>
      <c r="B26" s="1">
        <v>1</v>
      </c>
      <c r="C26" s="1" t="s">
        <v>9</v>
      </c>
      <c r="D26" s="1">
        <v>90111</v>
      </c>
      <c r="E26" s="1" t="s">
        <v>34</v>
      </c>
      <c r="F26" s="1">
        <v>0</v>
      </c>
      <c r="G26" s="2">
        <v>815000</v>
      </c>
      <c r="H26" s="2">
        <v>9000</v>
      </c>
      <c r="I26" s="2">
        <v>806000</v>
      </c>
    </row>
    <row r="27" spans="1:9" x14ac:dyDescent="0.25">
      <c r="A27" s="1">
        <v>260021</v>
      </c>
      <c r="B27" s="1">
        <v>1</v>
      </c>
      <c r="C27" s="1" t="s">
        <v>9</v>
      </c>
      <c r="D27" s="1">
        <v>90112</v>
      </c>
      <c r="E27" s="1" t="s">
        <v>35</v>
      </c>
      <c r="F27" s="1">
        <v>0</v>
      </c>
      <c r="G27" s="2">
        <v>2145000</v>
      </c>
      <c r="H27" s="2">
        <v>0</v>
      </c>
      <c r="I27" s="2">
        <v>2145000</v>
      </c>
    </row>
    <row r="28" spans="1:9" x14ac:dyDescent="0.25">
      <c r="A28" s="1">
        <v>260021</v>
      </c>
      <c r="B28" s="1">
        <v>1</v>
      </c>
      <c r="C28" s="1" t="s">
        <v>9</v>
      </c>
      <c r="D28" s="1">
        <v>90113</v>
      </c>
      <c r="E28" s="1" t="s">
        <v>36</v>
      </c>
      <c r="F28" s="1">
        <v>0</v>
      </c>
      <c r="G28" s="2">
        <v>60000</v>
      </c>
      <c r="H28" s="2">
        <v>0</v>
      </c>
      <c r="I28" s="2">
        <v>60000</v>
      </c>
    </row>
    <row r="29" spans="1:9" x14ac:dyDescent="0.25">
      <c r="A29" s="1">
        <v>260021</v>
      </c>
      <c r="B29" s="1">
        <v>1</v>
      </c>
      <c r="C29" s="1" t="s">
        <v>9</v>
      </c>
      <c r="D29" s="1">
        <v>90114</v>
      </c>
      <c r="E29" s="1" t="s">
        <v>37</v>
      </c>
      <c r="F29" s="1">
        <v>0</v>
      </c>
      <c r="G29" s="2">
        <v>1780000</v>
      </c>
      <c r="H29" s="2">
        <v>0</v>
      </c>
      <c r="I29" s="2">
        <v>1780000</v>
      </c>
    </row>
    <row r="30" spans="1:9" x14ac:dyDescent="0.25">
      <c r="A30" s="1">
        <v>260021</v>
      </c>
      <c r="B30" s="1">
        <v>1</v>
      </c>
      <c r="C30" s="1" t="s">
        <v>9</v>
      </c>
      <c r="D30" s="1">
        <v>90115</v>
      </c>
      <c r="E30" s="1" t="s">
        <v>38</v>
      </c>
      <c r="F30" s="1">
        <v>0</v>
      </c>
      <c r="G30" s="2">
        <v>150000</v>
      </c>
      <c r="H30" s="2">
        <v>0</v>
      </c>
      <c r="I30" s="2">
        <v>150000</v>
      </c>
    </row>
    <row r="31" spans="1:9" x14ac:dyDescent="0.25">
      <c r="A31" s="1">
        <v>260021</v>
      </c>
      <c r="B31" s="1">
        <v>1</v>
      </c>
      <c r="C31" s="1" t="s">
        <v>9</v>
      </c>
      <c r="D31" s="1">
        <v>90116</v>
      </c>
      <c r="E31" s="1" t="s">
        <v>39</v>
      </c>
      <c r="F31" s="1">
        <v>0</v>
      </c>
      <c r="G31" s="2">
        <v>245000</v>
      </c>
      <c r="H31" s="2">
        <v>0</v>
      </c>
      <c r="I31" s="2">
        <v>245000</v>
      </c>
    </row>
    <row r="32" spans="1:9" x14ac:dyDescent="0.25">
      <c r="A32" s="1">
        <v>260021</v>
      </c>
      <c r="B32" s="1">
        <v>1</v>
      </c>
      <c r="C32" s="1" t="s">
        <v>9</v>
      </c>
      <c r="D32" s="1">
        <v>90117</v>
      </c>
      <c r="E32" s="1" t="s">
        <v>40</v>
      </c>
      <c r="F32" s="1">
        <v>0</v>
      </c>
      <c r="G32" s="2">
        <v>30000</v>
      </c>
      <c r="H32" s="2">
        <v>0</v>
      </c>
      <c r="I32" s="2">
        <v>30000</v>
      </c>
    </row>
    <row r="33" spans="1:9" x14ac:dyDescent="0.25">
      <c r="A33" s="1">
        <v>260021</v>
      </c>
      <c r="B33" s="1">
        <v>1</v>
      </c>
      <c r="C33" s="1" t="s">
        <v>9</v>
      </c>
      <c r="D33" s="1">
        <v>90118</v>
      </c>
      <c r="E33" s="1" t="s">
        <v>41</v>
      </c>
      <c r="F33" s="1">
        <v>0</v>
      </c>
      <c r="G33" s="2">
        <v>420000</v>
      </c>
      <c r="H33" s="2">
        <v>0</v>
      </c>
      <c r="I33" s="2">
        <v>420000</v>
      </c>
    </row>
    <row r="34" spans="1:9" x14ac:dyDescent="0.25">
      <c r="A34" s="1">
        <v>260021</v>
      </c>
      <c r="B34" s="1">
        <v>1</v>
      </c>
      <c r="C34" s="1" t="s">
        <v>9</v>
      </c>
      <c r="D34" s="1">
        <v>90119</v>
      </c>
      <c r="E34" s="1" t="s">
        <v>42</v>
      </c>
      <c r="F34" s="1">
        <v>0</v>
      </c>
      <c r="G34" s="2">
        <v>141000</v>
      </c>
      <c r="H34" s="2">
        <v>0</v>
      </c>
      <c r="I34" s="2">
        <v>141000</v>
      </c>
    </row>
    <row r="35" spans="1:9" x14ac:dyDescent="0.25">
      <c r="A35" s="1">
        <v>260021</v>
      </c>
      <c r="B35" s="1">
        <v>1</v>
      </c>
      <c r="C35" s="1" t="s">
        <v>9</v>
      </c>
      <c r="D35" s="1">
        <v>90120</v>
      </c>
      <c r="E35" s="1" t="s">
        <v>43</v>
      </c>
      <c r="F35" s="1">
        <v>0</v>
      </c>
      <c r="G35" s="2">
        <v>114000</v>
      </c>
      <c r="H35" s="2">
        <v>0</v>
      </c>
      <c r="I35" s="2">
        <v>114000</v>
      </c>
    </row>
    <row r="36" spans="1:9" x14ac:dyDescent="0.25">
      <c r="A36" s="1">
        <v>260021</v>
      </c>
      <c r="B36" s="1">
        <v>1</v>
      </c>
      <c r="C36" s="1" t="s">
        <v>9</v>
      </c>
      <c r="D36" s="1">
        <v>90121</v>
      </c>
      <c r="E36" s="1" t="s">
        <v>44</v>
      </c>
      <c r="F36" s="1">
        <v>0</v>
      </c>
      <c r="G36" s="2">
        <v>601000</v>
      </c>
      <c r="H36" s="2">
        <v>0</v>
      </c>
      <c r="I36" s="2">
        <v>601000</v>
      </c>
    </row>
    <row r="37" spans="1:9" x14ac:dyDescent="0.25">
      <c r="A37" s="1">
        <v>260021</v>
      </c>
      <c r="B37" s="1">
        <v>1</v>
      </c>
      <c r="C37" s="1" t="s">
        <v>9</v>
      </c>
      <c r="D37" s="1">
        <v>90122</v>
      </c>
      <c r="E37" s="1" t="s">
        <v>45</v>
      </c>
      <c r="F37" s="1">
        <v>0</v>
      </c>
      <c r="G37" s="2">
        <v>326000</v>
      </c>
      <c r="H37" s="2">
        <v>0</v>
      </c>
      <c r="I37" s="2">
        <v>326000</v>
      </c>
    </row>
    <row r="38" spans="1:9" x14ac:dyDescent="0.25">
      <c r="A38" s="1">
        <v>260021</v>
      </c>
      <c r="B38" s="1">
        <v>1</v>
      </c>
      <c r="C38" s="1" t="s">
        <v>9</v>
      </c>
      <c r="D38" s="1">
        <v>90123</v>
      </c>
      <c r="E38" s="1" t="s">
        <v>46</v>
      </c>
      <c r="F38" s="1">
        <v>0</v>
      </c>
      <c r="G38" s="2">
        <v>55000</v>
      </c>
      <c r="H38" s="2">
        <v>0</v>
      </c>
      <c r="I38" s="2">
        <v>55000</v>
      </c>
    </row>
    <row r="39" spans="1:9" x14ac:dyDescent="0.25">
      <c r="A39" s="1">
        <v>260021</v>
      </c>
      <c r="B39" s="1">
        <v>1</v>
      </c>
      <c r="C39" s="1" t="s">
        <v>9</v>
      </c>
      <c r="D39" s="1">
        <v>90124</v>
      </c>
      <c r="E39" s="1" t="s">
        <v>47</v>
      </c>
      <c r="F39" s="1">
        <v>0</v>
      </c>
      <c r="G39" s="2">
        <v>228000</v>
      </c>
      <c r="H39" s="2">
        <v>0</v>
      </c>
      <c r="I39" s="2">
        <v>228000</v>
      </c>
    </row>
    <row r="40" spans="1:9" x14ac:dyDescent="0.25">
      <c r="A40" s="1">
        <v>260021</v>
      </c>
      <c r="B40" s="1">
        <v>1</v>
      </c>
      <c r="C40" s="1" t="s">
        <v>9</v>
      </c>
      <c r="D40" s="1">
        <v>90126</v>
      </c>
      <c r="E40" s="1" t="s">
        <v>48</v>
      </c>
      <c r="F40" s="1">
        <v>0</v>
      </c>
      <c r="G40" s="2">
        <v>1250000</v>
      </c>
      <c r="H40" s="2">
        <v>0</v>
      </c>
      <c r="I40" s="2">
        <v>1250000</v>
      </c>
    </row>
    <row r="41" spans="1:9" x14ac:dyDescent="0.25">
      <c r="A41" s="1">
        <v>260021</v>
      </c>
      <c r="B41" s="1">
        <v>1</v>
      </c>
      <c r="C41" s="1" t="s">
        <v>9</v>
      </c>
      <c r="D41" s="1">
        <v>90127</v>
      </c>
      <c r="E41" s="1" t="s">
        <v>49</v>
      </c>
      <c r="F41" s="1">
        <v>0</v>
      </c>
      <c r="G41" s="2">
        <v>445000</v>
      </c>
      <c r="H41" s="2">
        <v>0</v>
      </c>
      <c r="I41" s="2">
        <v>445000</v>
      </c>
    </row>
    <row r="42" spans="1:9" x14ac:dyDescent="0.25">
      <c r="A42" s="1">
        <v>260021</v>
      </c>
      <c r="B42" s="1">
        <v>1</v>
      </c>
      <c r="C42" s="1" t="s">
        <v>9</v>
      </c>
      <c r="D42" s="1">
        <v>90129</v>
      </c>
      <c r="E42" s="1" t="s">
        <v>50</v>
      </c>
      <c r="F42" s="1">
        <v>0</v>
      </c>
      <c r="G42" s="2">
        <v>589000</v>
      </c>
      <c r="H42" s="2">
        <v>0</v>
      </c>
      <c r="I42" s="2">
        <v>589000</v>
      </c>
    </row>
    <row r="43" spans="1:9" x14ac:dyDescent="0.25">
      <c r="A43" s="1">
        <v>260021</v>
      </c>
      <c r="B43" s="1">
        <v>1</v>
      </c>
      <c r="C43" s="1" t="s">
        <v>9</v>
      </c>
      <c r="D43" s="1">
        <v>90130</v>
      </c>
      <c r="E43" s="1" t="s">
        <v>51</v>
      </c>
      <c r="F43" s="1">
        <v>0</v>
      </c>
      <c r="G43" s="2">
        <v>20000</v>
      </c>
      <c r="H43" s="2">
        <v>0</v>
      </c>
      <c r="I43" s="2">
        <v>20000</v>
      </c>
    </row>
    <row r="44" spans="1:9" x14ac:dyDescent="0.25">
      <c r="A44" s="1">
        <v>260021</v>
      </c>
      <c r="B44" s="1">
        <v>1</v>
      </c>
      <c r="C44" s="1" t="s">
        <v>9</v>
      </c>
      <c r="D44" s="1">
        <v>90131</v>
      </c>
      <c r="E44" s="1" t="s">
        <v>52</v>
      </c>
      <c r="F44" s="1">
        <v>0</v>
      </c>
      <c r="G44" s="2">
        <v>275000</v>
      </c>
      <c r="H44" s="2">
        <v>0</v>
      </c>
      <c r="I44" s="2">
        <v>275000</v>
      </c>
    </row>
    <row r="45" spans="1:9" x14ac:dyDescent="0.25">
      <c r="A45" s="1">
        <v>260021</v>
      </c>
      <c r="B45" s="1">
        <v>1</v>
      </c>
      <c r="C45" s="1" t="s">
        <v>9</v>
      </c>
      <c r="D45" s="1">
        <v>90132</v>
      </c>
      <c r="E45" s="1" t="s">
        <v>53</v>
      </c>
      <c r="F45" s="1">
        <v>0</v>
      </c>
      <c r="G45" s="2">
        <v>85000</v>
      </c>
      <c r="H45" s="2">
        <v>0</v>
      </c>
      <c r="I45" s="2">
        <v>85000</v>
      </c>
    </row>
    <row r="46" spans="1:9" x14ac:dyDescent="0.25">
      <c r="A46" s="1">
        <v>260021</v>
      </c>
      <c r="B46" s="1">
        <v>1</v>
      </c>
      <c r="C46" s="1" t="s">
        <v>9</v>
      </c>
      <c r="D46" s="1">
        <v>90133</v>
      </c>
      <c r="E46" s="1" t="s">
        <v>54</v>
      </c>
      <c r="F46" s="1">
        <v>0</v>
      </c>
      <c r="G46" s="2">
        <v>20000</v>
      </c>
      <c r="H46" s="2">
        <v>0</v>
      </c>
      <c r="I46" s="2">
        <v>20000</v>
      </c>
    </row>
    <row r="47" spans="1:9" x14ac:dyDescent="0.25">
      <c r="A47" s="1">
        <v>260021</v>
      </c>
      <c r="B47" s="1">
        <v>1</v>
      </c>
      <c r="C47" s="1" t="s">
        <v>9</v>
      </c>
      <c r="D47" s="1">
        <v>90134</v>
      </c>
      <c r="E47" s="1" t="s">
        <v>55</v>
      </c>
      <c r="F47" s="1">
        <v>0</v>
      </c>
      <c r="G47" s="2">
        <v>360000</v>
      </c>
      <c r="H47" s="2">
        <v>0</v>
      </c>
      <c r="I47" s="2">
        <v>360000</v>
      </c>
    </row>
    <row r="48" spans="1:9" x14ac:dyDescent="0.25">
      <c r="A48" s="1">
        <v>260021</v>
      </c>
      <c r="B48" s="1">
        <v>1</v>
      </c>
      <c r="C48" s="1" t="s">
        <v>9</v>
      </c>
      <c r="D48" s="1">
        <v>90135</v>
      </c>
      <c r="E48" s="1" t="s">
        <v>56</v>
      </c>
      <c r="F48" s="1">
        <v>0</v>
      </c>
      <c r="G48" s="2">
        <v>185000</v>
      </c>
      <c r="H48" s="2">
        <v>0</v>
      </c>
      <c r="I48" s="2">
        <v>185000</v>
      </c>
    </row>
    <row r="49" spans="1:9" x14ac:dyDescent="0.25">
      <c r="A49" s="1">
        <v>260021</v>
      </c>
      <c r="B49" s="1">
        <v>1</v>
      </c>
      <c r="C49" s="1" t="s">
        <v>9</v>
      </c>
      <c r="D49" s="1">
        <v>90136</v>
      </c>
      <c r="E49" s="1" t="s">
        <v>57</v>
      </c>
      <c r="F49" s="1">
        <v>0</v>
      </c>
      <c r="G49" s="2">
        <v>400000</v>
      </c>
      <c r="H49" s="2">
        <v>75000</v>
      </c>
      <c r="I49" s="2">
        <v>325000</v>
      </c>
    </row>
    <row r="50" spans="1:9" x14ac:dyDescent="0.25">
      <c r="A50" s="1">
        <v>260021</v>
      </c>
      <c r="B50" s="1">
        <v>1</v>
      </c>
      <c r="C50" s="1" t="s">
        <v>9</v>
      </c>
      <c r="D50" s="1">
        <v>90138</v>
      </c>
      <c r="E50" s="1" t="s">
        <v>58</v>
      </c>
      <c r="F50" s="1">
        <v>0</v>
      </c>
      <c r="G50" s="2">
        <v>30000</v>
      </c>
      <c r="H50" s="2">
        <v>0</v>
      </c>
      <c r="I50" s="2">
        <v>30000</v>
      </c>
    </row>
    <row r="51" spans="1:9" x14ac:dyDescent="0.25">
      <c r="A51" s="1">
        <v>260021</v>
      </c>
      <c r="B51" s="1">
        <v>1</v>
      </c>
      <c r="C51" s="1" t="s">
        <v>9</v>
      </c>
      <c r="D51" s="1">
        <v>90139</v>
      </c>
      <c r="E51" s="1" t="s">
        <v>59</v>
      </c>
      <c r="F51" s="1">
        <v>0</v>
      </c>
      <c r="G51" s="2">
        <v>100000</v>
      </c>
      <c r="H51" s="2">
        <v>0</v>
      </c>
      <c r="I51" s="2">
        <v>100000</v>
      </c>
    </row>
    <row r="52" spans="1:9" x14ac:dyDescent="0.25">
      <c r="A52" s="1">
        <v>260021</v>
      </c>
      <c r="B52" s="1">
        <v>1</v>
      </c>
      <c r="C52" s="1" t="s">
        <v>9</v>
      </c>
      <c r="D52" s="1">
        <v>90140</v>
      </c>
      <c r="E52" s="1" t="s">
        <v>60</v>
      </c>
      <c r="F52" s="1">
        <v>10</v>
      </c>
      <c r="G52" s="2">
        <v>525000</v>
      </c>
      <c r="H52" s="2">
        <v>37413</v>
      </c>
      <c r="I52" s="2">
        <v>487587</v>
      </c>
    </row>
    <row r="53" spans="1:9" x14ac:dyDescent="0.25">
      <c r="A53" s="1">
        <v>260021</v>
      </c>
      <c r="B53" s="1">
        <v>1</v>
      </c>
      <c r="C53" s="1" t="s">
        <v>9</v>
      </c>
      <c r="D53" s="1">
        <v>90141</v>
      </c>
      <c r="E53" s="1" t="s">
        <v>61</v>
      </c>
      <c r="F53" s="1">
        <v>0</v>
      </c>
      <c r="G53" s="2">
        <v>75000</v>
      </c>
      <c r="H53" s="2">
        <v>13526</v>
      </c>
      <c r="I53" s="2">
        <v>61474</v>
      </c>
    </row>
    <row r="54" spans="1:9" x14ac:dyDescent="0.25">
      <c r="A54" s="1">
        <v>260021</v>
      </c>
      <c r="B54" s="1">
        <v>1</v>
      </c>
      <c r="C54" s="1" t="s">
        <v>9</v>
      </c>
      <c r="D54" s="1">
        <v>90142</v>
      </c>
      <c r="E54" s="1" t="s">
        <v>62</v>
      </c>
      <c r="F54" s="1">
        <v>0</v>
      </c>
      <c r="G54" s="2">
        <v>15000</v>
      </c>
      <c r="H54" s="2">
        <v>0</v>
      </c>
      <c r="I54" s="2">
        <v>15000</v>
      </c>
    </row>
    <row r="55" spans="1:9" x14ac:dyDescent="0.25">
      <c r="A55" s="1">
        <v>260021</v>
      </c>
      <c r="B55" s="1">
        <v>1</v>
      </c>
      <c r="C55" s="1" t="s">
        <v>9</v>
      </c>
      <c r="D55" s="1">
        <v>90144</v>
      </c>
      <c r="E55" s="1" t="s">
        <v>63</v>
      </c>
      <c r="F55" s="1">
        <v>0</v>
      </c>
      <c r="G55" s="2">
        <v>15000</v>
      </c>
      <c r="H55" s="2">
        <v>0</v>
      </c>
      <c r="I55" s="2">
        <v>15000</v>
      </c>
    </row>
    <row r="56" spans="1:9" x14ac:dyDescent="0.25">
      <c r="A56" s="1">
        <v>260021</v>
      </c>
      <c r="B56" s="1">
        <v>1</v>
      </c>
      <c r="C56" s="1" t="s">
        <v>9</v>
      </c>
      <c r="D56" s="1">
        <v>90145</v>
      </c>
      <c r="E56" s="1" t="s">
        <v>64</v>
      </c>
      <c r="F56" s="1">
        <v>0</v>
      </c>
      <c r="G56" s="2">
        <v>50000</v>
      </c>
      <c r="H56" s="2">
        <v>0</v>
      </c>
      <c r="I56" s="2">
        <v>50000</v>
      </c>
    </row>
    <row r="57" spans="1:9" x14ac:dyDescent="0.25">
      <c r="A57" s="1">
        <v>260021</v>
      </c>
      <c r="B57" s="1">
        <v>1</v>
      </c>
      <c r="C57" s="1" t="s">
        <v>9</v>
      </c>
      <c r="D57" s="1">
        <v>90146</v>
      </c>
      <c r="E57" s="1" t="s">
        <v>65</v>
      </c>
      <c r="F57" s="1">
        <v>0</v>
      </c>
      <c r="G57" s="2">
        <v>60000</v>
      </c>
      <c r="H57" s="2">
        <v>5000</v>
      </c>
      <c r="I57" s="2">
        <v>55000</v>
      </c>
    </row>
    <row r="58" spans="1:9" x14ac:dyDescent="0.25">
      <c r="A58" s="1">
        <v>260021</v>
      </c>
      <c r="B58" s="1">
        <v>1</v>
      </c>
      <c r="C58" s="1" t="s">
        <v>9</v>
      </c>
      <c r="D58" s="1">
        <v>90147</v>
      </c>
      <c r="E58" s="1" t="s">
        <v>66</v>
      </c>
      <c r="F58" s="1">
        <v>0</v>
      </c>
      <c r="G58" s="2">
        <v>225000</v>
      </c>
      <c r="H58" s="2">
        <v>0</v>
      </c>
      <c r="I58" s="2">
        <v>225000</v>
      </c>
    </row>
    <row r="59" spans="1:9" x14ac:dyDescent="0.25">
      <c r="A59" s="1">
        <v>260021</v>
      </c>
      <c r="B59" s="1">
        <v>1</v>
      </c>
      <c r="C59" s="1" t="s">
        <v>9</v>
      </c>
      <c r="D59" s="1">
        <v>97463</v>
      </c>
      <c r="E59" s="1" t="s">
        <v>67</v>
      </c>
      <c r="F59" s="1">
        <v>0</v>
      </c>
      <c r="G59" s="2">
        <v>20000</v>
      </c>
      <c r="H59" s="2">
        <v>0</v>
      </c>
      <c r="I59" s="2">
        <v>20000</v>
      </c>
    </row>
    <row r="61" spans="1:9" x14ac:dyDescent="0.25">
      <c r="G61" s="2">
        <f>SUM(G2:G59)</f>
        <v>25000000</v>
      </c>
      <c r="H61" s="2">
        <f>SUM(H2:H59)</f>
        <v>2208597.71</v>
      </c>
      <c r="I61" s="2">
        <f>SUM(I2:I59)</f>
        <v>22791402.289999999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ProjectCategories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Brett</dc:creator>
  <cp:lastModifiedBy>Cochran, Brett</cp:lastModifiedBy>
  <dcterms:created xsi:type="dcterms:W3CDTF">2026-04-15T17:38:17Z</dcterms:created>
  <dcterms:modified xsi:type="dcterms:W3CDTF">2026-04-15T17:38:17Z</dcterms:modified>
</cp:coreProperties>
</file>